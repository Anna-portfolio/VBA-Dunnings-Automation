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hyssenkrupp-my.sharepoint.com/personal/anna_dudek2_thyssenkrupp_com/Documents/Desktop/Automations  without sensitive data drive/"/>
    </mc:Choice>
  </mc:AlternateContent>
  <xr:revisionPtr revIDLastSave="4426" documentId="8_{AB2AE0CE-327E-4C88-AE21-236DDFCA88CE}" xr6:coauthVersionLast="47" xr6:coauthVersionMax="47" xr10:uidLastSave="{5A60B56D-9135-4F08-B7ED-6AB4E4537E77}"/>
  <bookViews>
    <workbookView xWindow="-110" yWindow="-110" windowWidth="19420" windowHeight="11500" tabRatio="611" xr2:uid="{00000000-000D-0000-FFFF-FFFF00000000}"/>
  </bookViews>
  <sheets>
    <sheet name="Dunnings Automation" sheetId="1" r:id="rId1"/>
    <sheet name="Data" sheetId="2" r:id="rId2"/>
    <sheet name="Status Overview" sheetId="3" r:id="rId3"/>
  </sheets>
  <definedNames>
    <definedName name="_xlnm._FilterDatabase" localSheetId="1" hidden="1">Data!$A$1:$C$143</definedName>
    <definedName name="_xlnm._FilterDatabase" localSheetId="0" hidden="1">'Dunnings Automation'!$B$20:$H$20</definedName>
    <definedName name="_xleta.N" hidden="1" xlm="1">#NAME?</definedName>
    <definedName name="_xleta.NO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" l="1"/>
  <c r="G22" i="1"/>
  <c r="G23" i="1"/>
  <c r="G24" i="1"/>
  <c r="G25" i="1"/>
  <c r="G21" i="1"/>
</calcChain>
</file>

<file path=xl/sharedStrings.xml><?xml version="1.0" encoding="utf-8"?>
<sst xmlns="http://schemas.openxmlformats.org/spreadsheetml/2006/main" count="459" uniqueCount="304">
  <si>
    <t>Belegnummer</t>
  </si>
  <si>
    <t>Ausgleichdatum</t>
  </si>
  <si>
    <t>Betrag 
(FBL1N)</t>
  </si>
  <si>
    <t>Betrag
(Seeburger)</t>
  </si>
  <si>
    <t>Beleg verbucht</t>
  </si>
  <si>
    <t>Status</t>
  </si>
  <si>
    <t>Warte auf Wareneingang</t>
  </si>
  <si>
    <t>Preisdifferenz</t>
  </si>
  <si>
    <t>Gutschrift erwartet</t>
  </si>
  <si>
    <t>sonstiges</t>
  </si>
  <si>
    <t>In Genehmigungslauf</t>
  </si>
  <si>
    <t>Mengendifferenz</t>
  </si>
  <si>
    <t>Fehler bei Datenverarbeitung</t>
  </si>
  <si>
    <t>Invest</t>
  </si>
  <si>
    <t>Nachrichtentext</t>
  </si>
  <si>
    <t>0000</t>
  </si>
  <si>
    <t>0005</t>
  </si>
  <si>
    <t>0010</t>
  </si>
  <si>
    <t>0015</t>
  </si>
  <si>
    <t>0016</t>
  </si>
  <si>
    <t>0017</t>
  </si>
  <si>
    <t>0018</t>
  </si>
  <si>
    <t>0020</t>
  </si>
  <si>
    <t>0025</t>
  </si>
  <si>
    <t>0030</t>
  </si>
  <si>
    <t>0033</t>
  </si>
  <si>
    <t>0035</t>
  </si>
  <si>
    <t>0036</t>
  </si>
  <si>
    <t>0039</t>
  </si>
  <si>
    <t>0040</t>
  </si>
  <si>
    <t>0041</t>
  </si>
  <si>
    <t>0042</t>
  </si>
  <si>
    <t>0043</t>
  </si>
  <si>
    <t>0044</t>
  </si>
  <si>
    <t>0045</t>
  </si>
  <si>
    <t>0046</t>
  </si>
  <si>
    <t>0049</t>
  </si>
  <si>
    <t>0050</t>
  </si>
  <si>
    <t>0055</t>
  </si>
  <si>
    <t>0060</t>
  </si>
  <si>
    <t>0061</t>
  </si>
  <si>
    <t>0062</t>
  </si>
  <si>
    <t>0063</t>
  </si>
  <si>
    <t>0065</t>
  </si>
  <si>
    <t>0070</t>
  </si>
  <si>
    <t>0075</t>
  </si>
  <si>
    <t>0076</t>
  </si>
  <si>
    <t>0080</t>
  </si>
  <si>
    <t>0100</t>
  </si>
  <si>
    <t>0105</t>
  </si>
  <si>
    <t>0110</t>
  </si>
  <si>
    <t>0115</t>
  </si>
  <si>
    <t>0119</t>
  </si>
  <si>
    <t>0120</t>
  </si>
  <si>
    <t>0124</t>
  </si>
  <si>
    <t>0125</t>
  </si>
  <si>
    <t>0129</t>
  </si>
  <si>
    <t>0130</t>
  </si>
  <si>
    <t>0131</t>
  </si>
  <si>
    <t>0134</t>
  </si>
  <si>
    <t>0135</t>
  </si>
  <si>
    <t>0139</t>
  </si>
  <si>
    <t>0140</t>
  </si>
  <si>
    <t>Bezeichnung 
(Seeburger)</t>
  </si>
  <si>
    <t>Offener Betrag
(E+F)</t>
  </si>
  <si>
    <t xml:space="preserve">Mapped Status 
(Data tab) </t>
  </si>
  <si>
    <t>no mapped status</t>
  </si>
  <si>
    <t>Nachrichtentext_01</t>
  </si>
  <si>
    <t>Nachrichtentext_02</t>
  </si>
  <si>
    <t>Nachrichtentext_03</t>
  </si>
  <si>
    <t>Nachrichtentext_04</t>
  </si>
  <si>
    <t>Nachrichtentext_05</t>
  </si>
  <si>
    <t>Nachrichtentext_06</t>
  </si>
  <si>
    <t>Nachrichtentext_07</t>
  </si>
  <si>
    <t>Nachrichtentext_08</t>
  </si>
  <si>
    <t>Nachrichtentext_09</t>
  </si>
  <si>
    <t>Nachrichtentext_10</t>
  </si>
  <si>
    <t>Nachrichtentext_11</t>
  </si>
  <si>
    <t>Nachrichtentext_12</t>
  </si>
  <si>
    <t>Nachrichtentext_13</t>
  </si>
  <si>
    <t>Nachrichtentext_14</t>
  </si>
  <si>
    <t>Nachrichtentext_15</t>
  </si>
  <si>
    <t>Nachrichtentext_16</t>
  </si>
  <si>
    <t>Nachrichtentext_17</t>
  </si>
  <si>
    <t>Nachrichtentext_18</t>
  </si>
  <si>
    <t>Nachrichtentext_19</t>
  </si>
  <si>
    <t>Nachrichtentext_20</t>
  </si>
  <si>
    <t>Nachrichtentext_21</t>
  </si>
  <si>
    <t>Nachrichtentext_22</t>
  </si>
  <si>
    <t>Nachrichtentext_23</t>
  </si>
  <si>
    <t>Nachrichtentext_24</t>
  </si>
  <si>
    <t>Nachrichtentext_25</t>
  </si>
  <si>
    <t>Nachrichtentext_26</t>
  </si>
  <si>
    <t>Nachrichtentext_27</t>
  </si>
  <si>
    <t>Nachrichtentext_28</t>
  </si>
  <si>
    <t>Nachrichtentext_29</t>
  </si>
  <si>
    <t>Nachrichtentext_30</t>
  </si>
  <si>
    <t>Nachrichtentext_31</t>
  </si>
  <si>
    <t>Nachrichtentext_32</t>
  </si>
  <si>
    <t>Nachrichtentext_33</t>
  </si>
  <si>
    <t>Nachrichtentext_34</t>
  </si>
  <si>
    <t>Nachrichtentext_35</t>
  </si>
  <si>
    <t>Nachrichtentext_36</t>
  </si>
  <si>
    <t>Nachrichtentext_37</t>
  </si>
  <si>
    <t>Nachrichtentext_38</t>
  </si>
  <si>
    <t>Nachrichtentext_39</t>
  </si>
  <si>
    <t>Nachrichtentext_40</t>
  </si>
  <si>
    <t>Nachrichtentext_41</t>
  </si>
  <si>
    <t>Nachrichtentext_42</t>
  </si>
  <si>
    <t>Nachrichtentext_43</t>
  </si>
  <si>
    <t>Nachrichtentext_44</t>
  </si>
  <si>
    <t>Nachrichtentext_45</t>
  </si>
  <si>
    <t>Nachrichtentext_46</t>
  </si>
  <si>
    <t>Nachrichtentext_47</t>
  </si>
  <si>
    <t>Nachrichtentext_48</t>
  </si>
  <si>
    <t>Nachrichtentext_49</t>
  </si>
  <si>
    <t>Nachrichtentext_50</t>
  </si>
  <si>
    <t>Nachrichtentext_51</t>
  </si>
  <si>
    <t>Nachrichtentext_52</t>
  </si>
  <si>
    <t>Nachrichtentext_53</t>
  </si>
  <si>
    <t>Nachrichtentext_54</t>
  </si>
  <si>
    <t>Nachrichtentext_55</t>
  </si>
  <si>
    <t>Nachrichtentext_56</t>
  </si>
  <si>
    <t>Nachrichtentext_57</t>
  </si>
  <si>
    <t>Nachrichtentext_58</t>
  </si>
  <si>
    <t>Nachrichtentext_59</t>
  </si>
  <si>
    <t>Nachrichtentext_60</t>
  </si>
  <si>
    <t>Nachrichtentext_61</t>
  </si>
  <si>
    <t>Nachrichtentext_62</t>
  </si>
  <si>
    <t>Nachrichtentext_63</t>
  </si>
  <si>
    <t>Nachrichtentext_64</t>
  </si>
  <si>
    <t>Nachrichtentext_65</t>
  </si>
  <si>
    <t>Nachrichtentext_66</t>
  </si>
  <si>
    <t>Nachrichtentext_67</t>
  </si>
  <si>
    <t>Nachrichtentext_68</t>
  </si>
  <si>
    <t>Nachrichtentext_69</t>
  </si>
  <si>
    <t>Nachrichtentext_70</t>
  </si>
  <si>
    <t>Nachrichtentext_71</t>
  </si>
  <si>
    <t>Nachrichtentext_72</t>
  </si>
  <si>
    <t>Nachrichtentext_73</t>
  </si>
  <si>
    <t>Nachrichtentext_74</t>
  </si>
  <si>
    <t>Nachrichtentext_75</t>
  </si>
  <si>
    <t>Nachrichtentext_76</t>
  </si>
  <si>
    <t>Nachrichtentext_77</t>
  </si>
  <si>
    <t>Nachrichtentext_78</t>
  </si>
  <si>
    <t>Nachrichtentext_79</t>
  </si>
  <si>
    <t>Nachrichtentext_80</t>
  </si>
  <si>
    <t>Nachrichtentext_81</t>
  </si>
  <si>
    <t>Nachrichtentext_82</t>
  </si>
  <si>
    <t>Nachrichtentext_83</t>
  </si>
  <si>
    <t>Nachrichtentext_84</t>
  </si>
  <si>
    <t>Nachrichtentext_85</t>
  </si>
  <si>
    <t>Nachrichtentext_86</t>
  </si>
  <si>
    <t>Nachrichtentext_87</t>
  </si>
  <si>
    <t>Nachrichtentext_88</t>
  </si>
  <si>
    <t>Nachrichtentext_89</t>
  </si>
  <si>
    <t>Nachrichtentext_90</t>
  </si>
  <si>
    <t>Nachrichtentext_91</t>
  </si>
  <si>
    <t>Nachrichtentext_92</t>
  </si>
  <si>
    <t>Nachrichtentext_93</t>
  </si>
  <si>
    <t>Nachrichtentext_94</t>
  </si>
  <si>
    <t>Nachrichtentext_95</t>
  </si>
  <si>
    <t>Nachrichtentext_96</t>
  </si>
  <si>
    <t>Nachrichtentext_97</t>
  </si>
  <si>
    <t>Nachrichtentext_98</t>
  </si>
  <si>
    <t>Nachrichtentext_99</t>
  </si>
  <si>
    <t>Nachrichtentext_100</t>
  </si>
  <si>
    <t>Nachrichtentext_101</t>
  </si>
  <si>
    <t>Nachrichtentext_102</t>
  </si>
  <si>
    <t>Nachrichtentext_103</t>
  </si>
  <si>
    <t>Nachrichtentext_104</t>
  </si>
  <si>
    <t>Nachrichtentext_105</t>
  </si>
  <si>
    <t>Nachrichtentext_106</t>
  </si>
  <si>
    <t>Nachrichtentext_107</t>
  </si>
  <si>
    <t>Nachrichtentext_108</t>
  </si>
  <si>
    <t>Nachrichtentext_109</t>
  </si>
  <si>
    <t>Nachrichtentext_110</t>
  </si>
  <si>
    <t>Nachrichtentext_111</t>
  </si>
  <si>
    <t>Nachrichtentext_112</t>
  </si>
  <si>
    <t>Nachrichtentext_113</t>
  </si>
  <si>
    <t>Nachrichtentext_114</t>
  </si>
  <si>
    <t>Nachrichtentext_115</t>
  </si>
  <si>
    <t>Nachrichtentext_116</t>
  </si>
  <si>
    <t>Nachrichtentext_117</t>
  </si>
  <si>
    <t>Nachrichtentext_118</t>
  </si>
  <si>
    <t>Nachrichtentext_119</t>
  </si>
  <si>
    <t>Nachrichtentext_120</t>
  </si>
  <si>
    <t>Nachrichtentext_121</t>
  </si>
  <si>
    <t>Nachrichtentext_122</t>
  </si>
  <si>
    <t>Nachrichtentext_123</t>
  </si>
  <si>
    <t>Nachrichtentext_124</t>
  </si>
  <si>
    <t>Nachrichtentext_125</t>
  </si>
  <si>
    <t>Nachrichtentext_126</t>
  </si>
  <si>
    <t>Nachrichtentext_127</t>
  </si>
  <si>
    <t>Nachrichtentext_128</t>
  </si>
  <si>
    <t>Nachrichtentext_129</t>
  </si>
  <si>
    <t>Nachrichtentext_130</t>
  </si>
  <si>
    <t>Nachrichtentext_131</t>
  </si>
  <si>
    <t>Nachrichtentext_132</t>
  </si>
  <si>
    <t>Nachrichtentext_133</t>
  </si>
  <si>
    <t>Nachrichtentext_134</t>
  </si>
  <si>
    <t>Nachrichtentext_135</t>
  </si>
  <si>
    <t>Nachrichtentext_136</t>
  </si>
  <si>
    <t>Nachrichtentext_137</t>
  </si>
  <si>
    <t>Nachrichtentext_138</t>
  </si>
  <si>
    <t>Nachrichtentext_139</t>
  </si>
  <si>
    <t>Nachrichtentext_140</t>
  </si>
  <si>
    <t>Nachrichtentext_141</t>
  </si>
  <si>
    <t>Nachrichtentext_142</t>
  </si>
  <si>
    <t>In Bearbeitung</t>
  </si>
  <si>
    <t>0001</t>
  </si>
  <si>
    <t>0002</t>
  </si>
  <si>
    <t>0003</t>
  </si>
  <si>
    <t>0004</t>
  </si>
  <si>
    <t>0006</t>
  </si>
  <si>
    <t>0007</t>
  </si>
  <si>
    <t>0008</t>
  </si>
  <si>
    <t>0009</t>
  </si>
  <si>
    <t>0011</t>
  </si>
  <si>
    <t>0012</t>
  </si>
  <si>
    <t>0013</t>
  </si>
  <si>
    <t>0014</t>
  </si>
  <si>
    <t>0019</t>
  </si>
  <si>
    <t>0021</t>
  </si>
  <si>
    <t>0022</t>
  </si>
  <si>
    <t>0023</t>
  </si>
  <si>
    <t>0024</t>
  </si>
  <si>
    <t>0026</t>
  </si>
  <si>
    <t>0027</t>
  </si>
  <si>
    <t>0028</t>
  </si>
  <si>
    <t>0029</t>
  </si>
  <si>
    <t>0031</t>
  </si>
  <si>
    <t>0032</t>
  </si>
  <si>
    <t>0034</t>
  </si>
  <si>
    <t>0037</t>
  </si>
  <si>
    <t>0038</t>
  </si>
  <si>
    <t>0047</t>
  </si>
  <si>
    <t>0048</t>
  </si>
  <si>
    <t>0051</t>
  </si>
  <si>
    <t>0052</t>
  </si>
  <si>
    <t>0053</t>
  </si>
  <si>
    <t>0054</t>
  </si>
  <si>
    <t>0056</t>
  </si>
  <si>
    <t>0057</t>
  </si>
  <si>
    <t>0058</t>
  </si>
  <si>
    <t>0059</t>
  </si>
  <si>
    <t>0064</t>
  </si>
  <si>
    <t>0066</t>
  </si>
  <si>
    <t>0067</t>
  </si>
  <si>
    <t>0068</t>
  </si>
  <si>
    <t>0069</t>
  </si>
  <si>
    <t>0071</t>
  </si>
  <si>
    <t>0072</t>
  </si>
  <si>
    <t>0073</t>
  </si>
  <si>
    <t>0074</t>
  </si>
  <si>
    <t>0077</t>
  </si>
  <si>
    <t>0078</t>
  </si>
  <si>
    <t>0079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</si>
  <si>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</si>
  <si>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</si>
  <si>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</si>
  <si>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</si>
  <si>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</si>
  <si>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</si>
  <si>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</si>
  <si>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</si>
  <si>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</si>
  <si>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</si>
  <si>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</si>
  <si>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</si>
  <si>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</si>
  <si>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</si>
  <si>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</si>
  <si>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</si>
  <si>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</si>
  <si>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</si>
  <si>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</si>
  <si>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0101</t>
  </si>
  <si>
    <t>0102</t>
  </si>
  <si>
    <t>0103</t>
  </si>
  <si>
    <t>0104</t>
  </si>
  <si>
    <t>0106</t>
  </si>
  <si>
    <t>0107</t>
  </si>
  <si>
    <t>0108</t>
  </si>
  <si>
    <t>0109</t>
  </si>
  <si>
    <t>0111</t>
  </si>
  <si>
    <t>0112</t>
  </si>
  <si>
    <t>0113</t>
  </si>
  <si>
    <t>0114</t>
  </si>
  <si>
    <t>0116</t>
  </si>
  <si>
    <t>0117</t>
  </si>
  <si>
    <t>0118</t>
  </si>
  <si>
    <t>0121</t>
  </si>
  <si>
    <t>0122</t>
  </si>
  <si>
    <t>0123</t>
  </si>
  <si>
    <t>0126</t>
  </si>
  <si>
    <t>0127</t>
  </si>
  <si>
    <t>0128</t>
  </si>
  <si>
    <t>0132</t>
  </si>
  <si>
    <t>0133</t>
  </si>
  <si>
    <t>0136</t>
  </si>
  <si>
    <t>0137</t>
  </si>
  <si>
    <t>0138</t>
  </si>
  <si>
    <t>0141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</si>
</sst>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1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Alignment="1">
      <alignment vertical="top"/>
    </xf>
    <xf numFmtId="0" fontId="0" fillId="2" borderId="0" xfId="0" applyFill="1" applyProtection="1">
      <protection locked="0"/>
    </xf>
    <xf numFmtId="1" fontId="0" fillId="2" borderId="0" xfId="0" applyNumberFormat="1" applyFill="1" applyProtection="1">
      <protection locked="0"/>
    </xf>
    <xf numFmtId="0" fontId="2" fillId="4" borderId="0" xfId="0" applyFont="1" applyFill="1" applyProtection="1">
      <protection locked="0"/>
    </xf>
    <xf numFmtId="1" fontId="0" fillId="2" borderId="1" xfId="0" applyNumberFormat="1" applyFill="1" applyBorder="1" applyAlignment="1" applyProtection="1">
      <alignment horizontal="left"/>
      <protection locked="0"/>
    </xf>
    <xf numFmtId="1" fontId="0" fillId="2" borderId="0" xfId="0" applyNumberFormat="1" applyFill="1" applyProtection="1"/>
    <xf numFmtId="0" fontId="0" fillId="2" borderId="0" xfId="0" applyFill="1" applyProtection="1"/>
    <xf numFmtId="14" fontId="0" fillId="2" borderId="0" xfId="0" applyNumberFormat="1" applyFill="1" applyProtection="1"/>
    <xf numFmtId="0" fontId="1" fillId="3" borderId="0" xfId="0" applyFont="1" applyFill="1" applyAlignment="1" applyProtection="1">
      <alignment horizontal="center" vertical="center" wrapText="1"/>
    </xf>
    <xf numFmtId="14" fontId="1" fillId="3" borderId="0" xfId="0" applyNumberFormat="1" applyFont="1" applyFill="1" applyAlignment="1" applyProtection="1">
      <alignment horizontal="center" vertical="center"/>
    </xf>
    <xf numFmtId="1" fontId="0" fillId="5" borderId="1" xfId="0" applyNumberFormat="1" applyFill="1" applyBorder="1" applyAlignment="1" applyProtection="1">
      <alignment horizontal="left"/>
    </xf>
    <xf numFmtId="0" fontId="0" fillId="5" borderId="1" xfId="0" applyFill="1" applyBorder="1" applyProtection="1"/>
    <xf numFmtId="14" fontId="0" fillId="5" borderId="1" xfId="0" applyNumberFormat="1" applyFill="1" applyBorder="1" applyProtection="1"/>
    <xf numFmtId="49" fontId="0" fillId="5" borderId="1" xfId="0" applyNumberFormat="1" applyFill="1" applyBorder="1" applyAlignment="1" applyProtection="1">
      <alignment horizontal="right"/>
    </xf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ill>
        <patternFill>
          <fgColor rgb="FF92D050"/>
          <bgColor rgb="FF92D050"/>
        </patternFill>
      </fill>
    </dxf>
    <dxf>
      <fill>
        <patternFill>
          <fgColor rgb="FF92D050"/>
          <bgColor rgb="FFFFFF00"/>
        </patternFill>
      </fill>
    </dxf>
    <dxf>
      <fill>
        <patternFill>
          <fgColor rgb="FF92D050"/>
          <bgColor rgb="FFEE0000"/>
        </patternFill>
      </fill>
    </dxf>
    <dxf>
      <fill>
        <patternFill>
          <fgColor rgb="FF92D050"/>
          <bgColor rgb="FF92D050"/>
        </patternFill>
      </fill>
    </dxf>
    <dxf>
      <fill>
        <patternFill>
          <fgColor rgb="FF92D050"/>
          <bgColor rgb="FFFFFF00"/>
        </patternFill>
      </fill>
    </dxf>
    <dxf>
      <fill>
        <patternFill>
          <fgColor rgb="FF92D050"/>
          <bgColor rgb="FFEE0000"/>
        </patternFill>
      </fill>
    </dxf>
    <dxf>
      <fill>
        <patternFill>
          <fgColor rgb="FF92D050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133351</xdr:colOff>
      <xdr:row>3</xdr:row>
      <xdr:rowOff>25400</xdr:rowOff>
    </xdr:from>
    <xdr:to>
      <xdr:col>7</xdr:col>
      <xdr:colOff>95250</xdr:colOff>
      <xdr:row>18</xdr:row>
      <xdr:rowOff>19050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6000B80-1C41-47A3-A86B-381566ECD0B9}"/>
            </a:ext>
          </a:extLst>
        </xdr:cNvPr>
        <xdr:cNvSpPr/>
      </xdr:nvSpPr>
      <xdr:spPr>
        <a:xfrm>
          <a:off x="1568451" y="742950"/>
          <a:ext cx="6883399" cy="2755900"/>
        </a:xfrm>
        <a:prstGeom prst="roundRect">
          <a:avLst/>
        </a:prstGeom>
        <a:solidFill>
          <a:srgbClr val="4B556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900" b="1">
              <a:latin typeface="Arial" panose="020B0604020202020204" pitchFamily="34" charset="0"/>
              <a:cs typeface="Arial" panose="020B0604020202020204" pitchFamily="34" charset="0"/>
            </a:rPr>
            <a:t>Description &amp; Instructions:</a:t>
          </a:r>
          <a:br>
            <a:rPr lang="pl-PL" sz="900">
              <a:latin typeface="Arial" panose="020B0604020202020204" pitchFamily="34" charset="0"/>
              <a:cs typeface="Arial" panose="020B0604020202020204" pitchFamily="34" charset="0"/>
            </a:rPr>
          </a:br>
          <a:endParaRPr lang="pl-PL" sz="90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The tool automatically checks invoice statuses in SAP (</a:t>
          </a:r>
          <a: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  <a:t>using</a:t>
          </a:r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 Seeburger and FBL1N)</a:t>
          </a:r>
          <a: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  <a:t>, gets </a:t>
          </a:r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relevant data</a:t>
          </a:r>
          <a: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  <a:t>,</a:t>
          </a:r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 and updates the </a:t>
          </a:r>
          <a: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  <a:t>table below.</a:t>
          </a:r>
          <a:b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</a:br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Columns C–</a:t>
          </a:r>
          <a:r>
            <a:rPr lang="pl-PL" sz="900" b="1">
              <a:solidFill>
                <a:schemeClr val="lt1"/>
              </a:solidFill>
              <a:latin typeface="+mn-lt"/>
              <a:ea typeface="+mn-ea"/>
              <a:cs typeface="+mn-cs"/>
            </a:rPr>
            <a:t>H</a:t>
          </a:r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 are locked </a:t>
          </a:r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to prevent manual edits (copy/paste is </a:t>
          </a:r>
          <a:r>
            <a:rPr lang="pl-PL" sz="900">
              <a:solidFill>
                <a:schemeClr val="lt1"/>
              </a:solidFill>
              <a:latin typeface="+mn-lt"/>
              <a:ea typeface="+mn-ea"/>
              <a:cs typeface="+mn-cs"/>
            </a:rPr>
            <a:t>possible</a:t>
          </a:r>
          <a:r>
            <a:rPr lang="en-US" sz="900">
              <a:solidFill>
                <a:schemeClr val="lt1"/>
              </a:solidFill>
              <a:latin typeface="+mn-lt"/>
              <a:ea typeface="+mn-ea"/>
              <a:cs typeface="+mn-cs"/>
            </a:rPr>
            <a:t>).</a:t>
          </a:r>
          <a:r>
            <a:rPr lang="pl-PL" sz="900" baseline="0">
              <a:solidFill>
                <a:schemeClr val="lt1"/>
              </a:solidFill>
              <a:latin typeface="+mn-lt"/>
              <a:ea typeface="+mn-ea"/>
              <a:cs typeface="+mn-cs"/>
            </a:rPr>
            <a:t> </a:t>
          </a:r>
        </a:p>
        <a:p>
          <a:r>
            <a:rPr lang="pl-PL" sz="900" baseline="0"/>
            <a:t> </a:t>
          </a:r>
          <a:br>
            <a:rPr lang="pl-PL" sz="900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pl-PL" sz="900" b="1"/>
            <a:t>Steps:</a:t>
          </a:r>
          <a:endParaRPr lang="en-US" sz="900" b="1"/>
        </a:p>
        <a:p>
          <a:r>
            <a:rPr lang="pl-PL" sz="900" b="0"/>
            <a:t>1. </a:t>
          </a:r>
          <a:r>
            <a:rPr lang="en-US" sz="900" b="0"/>
            <a:t>(Optional) Click </a:t>
          </a:r>
          <a:r>
            <a:rPr lang="en-US" sz="900" b="1"/>
            <a:t>"Clear Table"</a:t>
          </a:r>
          <a:r>
            <a:rPr lang="en-US" sz="900"/>
            <a:t> to remove old data.</a:t>
          </a:r>
        </a:p>
        <a:p>
          <a:r>
            <a:rPr lang="pl-PL" sz="900"/>
            <a:t>2. </a:t>
          </a:r>
          <a:r>
            <a:rPr lang="en-US" sz="900"/>
            <a:t>Enter invoice numbers in the </a:t>
          </a:r>
          <a:r>
            <a:rPr lang="en-US" sz="900" b="1"/>
            <a:t>"Belegnummer"</a:t>
          </a:r>
          <a:r>
            <a:rPr lang="en-US" sz="900"/>
            <a:t> column.</a:t>
          </a:r>
        </a:p>
        <a:p>
          <a:r>
            <a:rPr lang="pl-PL" sz="900"/>
            <a:t>3. </a:t>
          </a:r>
          <a:r>
            <a:rPr lang="en-US" sz="900"/>
            <a:t>Click </a:t>
          </a:r>
          <a:r>
            <a:rPr lang="en-US" sz="900" b="1"/>
            <a:t>"Run Automation"</a:t>
          </a:r>
          <a:r>
            <a:rPr lang="en-US" sz="900"/>
            <a:t>.</a:t>
          </a:r>
        </a:p>
        <a:p>
          <a:endParaRPr lang="pl-PL" sz="900" b="1"/>
        </a:p>
        <a:p>
          <a:r>
            <a:rPr lang="en-US" sz="900" b="1"/>
            <a:t>Results Overview:</a:t>
          </a:r>
        </a:p>
        <a:p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Bezeichnung </a:t>
          </a:r>
          <a:r>
            <a:rPr lang="pl-PL" sz="900" b="1">
              <a:solidFill>
                <a:schemeClr val="lt1"/>
              </a:solidFill>
              <a:latin typeface="+mn-lt"/>
              <a:ea typeface="+mn-ea"/>
              <a:cs typeface="+mn-cs"/>
            </a:rPr>
            <a:t>(Seeburger)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Invoice status </a:t>
          </a:r>
          <a:r>
            <a:rPr lang="pl-PL" sz="900" b="0">
              <a:solidFill>
                <a:schemeClr val="lt1"/>
              </a:solidFill>
              <a:latin typeface="+mn-lt"/>
              <a:ea typeface="+mn-ea"/>
              <a:cs typeface="+mn-cs"/>
            </a:rPr>
            <a:t>from Seeburger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Mapped Status (Data tab</a:t>
          </a:r>
          <a:r>
            <a:rPr lang="pl-PL" sz="900" b="1">
              <a:solidFill>
                <a:schemeClr val="lt1"/>
              </a:solidFill>
              <a:latin typeface="+mn-lt"/>
              <a:ea typeface="+mn-ea"/>
              <a:cs typeface="+mn-cs"/>
            </a:rPr>
            <a:t>)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Invoice status (based on status mapping; see Data tab)</a:t>
          </a:r>
        </a:p>
        <a:p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Betrag (Seeburger)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Gross amount from Seeburger</a:t>
          </a:r>
        </a:p>
        <a:p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Betrag (FBL1N)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Paid amount from FBL1N</a:t>
          </a:r>
        </a:p>
        <a:p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Offener Betrag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Difference between Seeburger and FBL1N amounts</a:t>
          </a:r>
          <a:r>
            <a:rPr lang="pl-PL" sz="900" b="0">
              <a:solidFill>
                <a:schemeClr val="lt1"/>
              </a:solidFill>
              <a:latin typeface="+mn-lt"/>
              <a:ea typeface="+mn-ea"/>
              <a:cs typeface="+mn-cs"/>
            </a:rPr>
            <a:t> (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Green: fully paid</a:t>
          </a:r>
          <a:r>
            <a:rPr lang="pl-PL" sz="900" b="0">
              <a:solidFill>
                <a:schemeClr val="lt1"/>
              </a:solidFill>
              <a:latin typeface="+mn-lt"/>
              <a:ea typeface="+mn-ea"/>
              <a:cs typeface="+mn-cs"/>
            </a:rPr>
            <a:t>;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Yellow: partially paid</a:t>
          </a:r>
          <a:r>
            <a:rPr lang="pl-PL" sz="900" b="0">
              <a:solidFill>
                <a:schemeClr val="lt1"/>
              </a:solidFill>
              <a:latin typeface="+mn-lt"/>
              <a:ea typeface="+mn-ea"/>
              <a:cs typeface="+mn-cs"/>
            </a:rPr>
            <a:t>;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Red: fully open</a:t>
          </a:r>
          <a:r>
            <a:rPr lang="pl-PL" sz="900" b="0">
              <a:solidFill>
                <a:schemeClr val="lt1"/>
              </a:solidFill>
              <a:latin typeface="+mn-lt"/>
              <a:ea typeface="+mn-ea"/>
              <a:cs typeface="+mn-cs"/>
            </a:rPr>
            <a:t>)</a:t>
          </a:r>
          <a:endParaRPr lang="en-US" sz="900" b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en-US" sz="900" b="1">
              <a:solidFill>
                <a:schemeClr val="lt1"/>
              </a:solidFill>
              <a:latin typeface="+mn-lt"/>
              <a:ea typeface="+mn-ea"/>
              <a:cs typeface="+mn-cs"/>
            </a:rPr>
            <a:t>Ausgleichdatum </a:t>
          </a:r>
          <a:r>
            <a:rPr lang="en-US" sz="900" b="0">
              <a:solidFill>
                <a:schemeClr val="lt1"/>
              </a:solidFill>
              <a:latin typeface="+mn-lt"/>
              <a:ea typeface="+mn-ea"/>
              <a:cs typeface="+mn-cs"/>
            </a:rPr>
            <a:t>– Clearing date </a:t>
          </a:r>
        </a:p>
      </xdr:txBody>
    </xdr:sp>
    <xdr:clientData/>
  </xdr:twoCellAnchor>
  <xdr:twoCellAnchor>
    <xdr:from>
      <xdr:col>6</xdr:col>
      <xdr:colOff>33475</xdr:colOff>
      <xdr:row>0</xdr:row>
      <xdr:rowOff>87728</xdr:rowOff>
    </xdr:from>
    <xdr:to>
      <xdr:col>6</xdr:col>
      <xdr:colOff>1356904</xdr:colOff>
      <xdr:row>1</xdr:row>
      <xdr:rowOff>135540</xdr:rowOff>
    </xdr:to>
    <xdr:sp macro="[0]!Master.Mast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5E81F5-A9A4-A09E-6599-71580B9B0AD2}"/>
            </a:ext>
          </a:extLst>
        </xdr:cNvPr>
        <xdr:cNvSpPr/>
      </xdr:nvSpPr>
      <xdr:spPr>
        <a:xfrm>
          <a:off x="6250125" y="87728"/>
          <a:ext cx="1323429" cy="39706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Run Automation</a:t>
          </a:r>
          <a:endParaRPr lang="en-US" sz="1100" b="1"/>
        </a:p>
      </xdr:txBody>
    </xdr:sp>
    <xdr:clientData/>
  </xdr:twoCellAnchor>
  <xdr:twoCellAnchor>
    <xdr:from>
      <xdr:col>2</xdr:col>
      <xdr:colOff>247650</xdr:colOff>
      <xdr:row>0</xdr:row>
      <xdr:rowOff>272302</xdr:rowOff>
    </xdr:from>
    <xdr:to>
      <xdr:col>3</xdr:col>
      <xdr:colOff>1090898</xdr:colOff>
      <xdr:row>2</xdr:row>
      <xdr:rowOff>138397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A42DD81-A41A-9E58-9810-72E9257EA004}"/>
            </a:ext>
          </a:extLst>
        </xdr:cNvPr>
        <xdr:cNvSpPr txBox="1"/>
      </xdr:nvSpPr>
      <xdr:spPr>
        <a:xfrm>
          <a:off x="1680471" y="272302"/>
          <a:ext cx="2300491" cy="40340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600" b="1">
              <a:solidFill>
                <a:srgbClr val="00B0F0"/>
              </a:solidFill>
            </a:rPr>
            <a:t>Dunnings Automation</a:t>
          </a:r>
          <a:endParaRPr lang="en-US" sz="1600" b="1">
            <a:solidFill>
              <a:srgbClr val="00B0F0"/>
            </a:solidFill>
          </a:endParaRPr>
        </a:p>
      </xdr:txBody>
    </xdr:sp>
    <xdr:clientData/>
  </xdr:twoCellAnchor>
  <xdr:twoCellAnchor>
    <xdr:from>
      <xdr:col>6</xdr:col>
      <xdr:colOff>1446133</xdr:colOff>
      <xdr:row>0</xdr:row>
      <xdr:rowOff>90902</xdr:rowOff>
    </xdr:from>
    <xdr:to>
      <xdr:col>8</xdr:col>
      <xdr:colOff>2441</xdr:colOff>
      <xdr:row>1</xdr:row>
      <xdr:rowOff>142808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270C27-3A3E-456F-BBE7-BAB580A6ED91}"/>
            </a:ext>
          </a:extLst>
        </xdr:cNvPr>
        <xdr:cNvSpPr/>
      </xdr:nvSpPr>
      <xdr:spPr>
        <a:xfrm>
          <a:off x="7662783" y="90902"/>
          <a:ext cx="1324908" cy="401156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/>
            <a:t>Clear</a:t>
          </a:r>
          <a:r>
            <a:rPr lang="pl-PL" sz="1100" b="1" baseline="0"/>
            <a:t> Table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BED1D2-CD7D-4F1B-BFAD-EBEE5E373C74}" name="Tabelle1" displayName="Tabelle1" ref="A1:A11" totalsRowShown="0" headerRowDxfId="0">
  <autoFilter ref="A1:A11" xr:uid="{18BED1D2-CD7D-4F1B-BFAD-EBEE5E373C74}"/>
  <tableColumns count="1">
    <tableColumn id="1" xr3:uid="{CF27B82F-8883-4C5F-8F50-5E7563635FCE}" name="Statu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"/>
  <sheetViews>
    <sheetView tabSelected="1" topLeftCell="A3" zoomScale="78" zoomScaleNormal="55" workbookViewId="0">
      <selection activeCell="I16" sqref="I16"/>
    </sheetView>
  </sheetViews>
  <sheetFormatPr defaultRowHeight="14.5" x14ac:dyDescent="0.35"/>
  <cols>
    <col min="1" max="1" width="2.08984375" style="7" customWidth="1"/>
    <col min="2" max="2" width="18.453125" style="8" customWidth="1"/>
    <col min="3" max="3" width="40" style="11" bestFit="1" customWidth="1"/>
    <col min="4" max="4" width="25.453125" style="12" bestFit="1" customWidth="1"/>
    <col min="5" max="6" width="18.7265625" style="12" customWidth="1"/>
    <col min="7" max="7" width="20.81640625" style="12" customWidth="1"/>
    <col min="8" max="8" width="18.81640625" style="13" customWidth="1"/>
    <col min="9" max="9" width="23.26953125" style="7" customWidth="1"/>
    <col min="10" max="16384" width="8.7265625" style="9"/>
  </cols>
  <sheetData>
    <row r="1" ht="27.5" customHeight="1" x14ac:dyDescent="0.35"/>
    <row r="20" spans="2:8" ht="30.5" customHeight="1" x14ac:dyDescent="0.35">
      <c r="B20" s="5" t="s">
        <v>0</v>
      </c>
      <c r="C20" s="14" t="s">
        <v>63</v>
      </c>
      <c r="D20" s="14" t="s">
        <v>65</v>
      </c>
      <c r="E20" s="14" t="s">
        <v>3</v>
      </c>
      <c r="F20" s="14" t="s">
        <v>2</v>
      </c>
      <c r="G20" s="14" t="s">
        <v>64</v>
      </c>
      <c r="H20" s="15" t="s">
        <v>1</v>
      </c>
    </row>
    <row r="21" spans="2:8" x14ac:dyDescent="0.35">
      <c r="B21" s="10">
        <v>1234567891</v>
      </c>
      <c r="C21" s="16" t="s">
        <v>87</v>
      </c>
      <c r="D21" s="17" t="s">
        <v>4</v>
      </c>
      <c r="E21" s="17">
        <v>4473.21</v>
      </c>
      <c r="F21" s="17">
        <v>-4473.21</v>
      </c>
      <c r="G21" s="17">
        <f>E21+F21</f>
        <v>0</v>
      </c>
      <c r="H21" s="18">
        <v>45793</v>
      </c>
    </row>
    <row r="22" spans="2:8" x14ac:dyDescent="0.35">
      <c r="B22" s="10">
        <v>1011121314</v>
      </c>
      <c r="C22" s="16" t="s">
        <v>139</v>
      </c>
      <c r="D22" s="17" t="s">
        <v>209</v>
      </c>
      <c r="E22" s="17">
        <v>-274.89</v>
      </c>
      <c r="F22" s="17">
        <v>150.12</v>
      </c>
      <c r="G22" s="17">
        <f t="shared" ref="G22:G25" si="0">E22+F22</f>
        <v>-124.76999999999998</v>
      </c>
      <c r="H22" s="19">
        <v>0</v>
      </c>
    </row>
    <row r="23" spans="2:8" x14ac:dyDescent="0.35">
      <c r="B23" s="10">
        <v>1516171819</v>
      </c>
      <c r="C23" s="16" t="s">
        <v>91</v>
      </c>
      <c r="D23" s="17" t="s">
        <v>4</v>
      </c>
      <c r="E23" s="17">
        <v>1727.88</v>
      </c>
      <c r="F23" s="17">
        <v>-1727.88</v>
      </c>
      <c r="G23" s="17">
        <f t="shared" si="0"/>
        <v>0</v>
      </c>
      <c r="H23" s="18">
        <v>45800</v>
      </c>
    </row>
    <row r="24" spans="2:8" x14ac:dyDescent="0.35">
      <c r="B24" s="10">
        <v>2021222324</v>
      </c>
      <c r="C24" s="16" t="s">
        <v>105</v>
      </c>
      <c r="D24" s="17" t="s">
        <v>4</v>
      </c>
      <c r="E24" s="17">
        <v>1986.97</v>
      </c>
      <c r="F24" s="17">
        <v>-1986.97</v>
      </c>
      <c r="G24" s="17">
        <f t="shared" si="0"/>
        <v>0</v>
      </c>
      <c r="H24" s="18">
        <v>45814</v>
      </c>
    </row>
    <row r="25" spans="2:8" x14ac:dyDescent="0.35">
      <c r="B25" s="10">
        <v>2526272829</v>
      </c>
      <c r="C25" s="16" t="s">
        <v>77</v>
      </c>
      <c r="D25" s="17" t="s">
        <v>12</v>
      </c>
      <c r="E25" s="17">
        <v>315.35000000000002</v>
      </c>
      <c r="F25" s="17">
        <v>0</v>
      </c>
      <c r="G25" s="17">
        <f t="shared" si="0"/>
        <v>315.35000000000002</v>
      </c>
      <c r="H25" s="19">
        <v>0</v>
      </c>
    </row>
    <row r="26" spans="2:8" x14ac:dyDescent="0.35">
      <c r="B26" s="10">
        <v>3031323334</v>
      </c>
      <c r="C26" s="16" t="s">
        <v>68</v>
      </c>
      <c r="D26" s="17" t="s">
        <v>209</v>
      </c>
      <c r="E26" s="17">
        <v>100</v>
      </c>
      <c r="F26" s="17">
        <v>-50</v>
      </c>
      <c r="G26" s="17">
        <f t="shared" ref="G26" si="1">E26+F26</f>
        <v>50</v>
      </c>
      <c r="H26" s="19">
        <v>0</v>
      </c>
    </row>
    <row r="27" spans="2:8" x14ac:dyDescent="0.35">
      <c r="B27" s="10"/>
      <c r="C27" s="16"/>
      <c r="D27" s="17"/>
      <c r="E27" s="17"/>
      <c r="F27" s="17"/>
      <c r="G27" s="17"/>
      <c r="H27" s="18"/>
    </row>
    <row r="28" spans="2:8" x14ac:dyDescent="0.35">
      <c r="B28" s="10"/>
      <c r="C28" s="16"/>
      <c r="D28" s="17"/>
      <c r="E28" s="17"/>
      <c r="F28" s="17"/>
      <c r="G28" s="17"/>
      <c r="H28" s="18"/>
    </row>
    <row r="29" spans="2:8" x14ac:dyDescent="0.35">
      <c r="B29" s="10"/>
      <c r="C29" s="17"/>
      <c r="D29" s="17"/>
      <c r="E29" s="17"/>
      <c r="F29" s="17"/>
      <c r="G29" s="17"/>
      <c r="H29" s="18"/>
    </row>
    <row r="30" spans="2:8" x14ac:dyDescent="0.35">
      <c r="B30" s="10"/>
      <c r="C30" s="17"/>
      <c r="D30" s="17"/>
      <c r="E30" s="17"/>
      <c r="F30" s="17"/>
      <c r="G30" s="17"/>
      <c r="H30" s="18"/>
    </row>
  </sheetData>
  <sheetProtection sheet="1" objects="1" scenarios="1"/>
  <autoFilter ref="B20:H20" xr:uid="{00000000-0001-0000-0000-000000000000}"/>
  <conditionalFormatting sqref="D21:H1048576">
    <cfRule type="expression" dxfId="7" priority="1">
      <formula>AND(ISNUMBER($G21), $G21&lt;0)</formula>
    </cfRule>
    <cfRule type="expression" dxfId="6" priority="5">
      <formula>AND(ISNUMBER($G21), ISNUMBER($E21), $G21=$E21)</formula>
    </cfRule>
    <cfRule type="expression" dxfId="5" priority="6">
      <formula>AND(ISNUMBER($G21), $G21&gt;0)</formula>
    </cfRule>
    <cfRule type="expression" dxfId="4" priority="7">
      <formula>AND(ISNUMBER($G21), $G21=0)</formula>
    </cfRule>
  </conditionalFormatting>
  <conditionalFormatting sqref="C29:C30">
    <cfRule type="expression" dxfId="3" priority="2">
      <formula>AND(ISNUMBER($G29), ISNUMBER($E29), $G29=$E29)</formula>
    </cfRule>
    <cfRule type="expression" dxfId="2" priority="3">
      <formula>AND(ISNUMBER($G29), $G29&gt;0)</formula>
    </cfRule>
    <cfRule type="expression" dxfId="1" priority="4">
      <formula>AND(ISNUMBER($G29), $G29=0)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D9CAE-39E4-4E5A-833E-C63A710075C2}">
  <sheetPr codeName="Sheet2"/>
  <dimension ref="A1:C143"/>
  <sheetViews>
    <sheetView workbookViewId="0">
      <selection activeCell="B4" sqref="B4"/>
    </sheetView>
  </sheetViews>
  <sheetFormatPr defaultRowHeight="14.5" x14ac:dyDescent="0.35"/>
  <cols>
    <col min="2" max="2" width="64.1796875" bestFit="1" customWidth="1"/>
    <col min="3" max="3" width="25.453125" bestFit="1" customWidth="1"/>
  </cols>
  <sheetData>
    <row r="1" spans="1:3" x14ac:dyDescent="0.35">
      <c r="A1" s="3" t="s">
        <v>5</v>
      </c>
      <c r="B1" s="3" t="s">
        <v>14</v>
      </c>
      <c r="C1" s="3" t="s">
        <v>5</v>
      </c>
    </row>
    <row r="2" spans="1:3" x14ac:dyDescent="0.35">
      <c r="A2" s="6" t="s">
        <v>15</v>
      </c>
      <c r="B2" s="4" t="s">
        <v>67</v>
      </c>
      <c r="C2" s="2" t="s">
        <v>9</v>
      </c>
    </row>
    <row r="3" spans="1:3" x14ac:dyDescent="0.35">
      <c r="A3" s="6" t="s">
        <v>210</v>
      </c>
      <c r="B3" s="4" t="s">
        <v>68</v>
      </c>
      <c r="C3" s="2" t="s">
        <v>209</v>
      </c>
    </row>
    <row r="4" spans="1:3" x14ac:dyDescent="0.35">
      <c r="A4" s="6" t="s">
        <v>211</v>
      </c>
      <c r="B4" s="4" t="s">
        <v>69</v>
      </c>
      <c r="C4" s="2" t="s">
        <v>209</v>
      </c>
    </row>
    <row r="5" spans="1:3" x14ac:dyDescent="0.35">
      <c r="A5" s="6" t="s">
        <v>212</v>
      </c>
      <c r="B5" s="4" t="s">
        <v>70</v>
      </c>
      <c r="C5" s="2" t="s">
        <v>209</v>
      </c>
    </row>
    <row r="6" spans="1:3" x14ac:dyDescent="0.35">
      <c r="A6" s="6" t="s">
        <v>213</v>
      </c>
      <c r="B6" s="4" t="s">
        <v>71</v>
      </c>
      <c r="C6" s="2" t="s">
        <v>12</v>
      </c>
    </row>
    <row r="7" spans="1:3" x14ac:dyDescent="0.35">
      <c r="A7" s="6" t="s">
        <v>16</v>
      </c>
      <c r="B7" s="4" t="s">
        <v>72</v>
      </c>
      <c r="C7" s="2" t="s">
        <v>209</v>
      </c>
    </row>
    <row r="8" spans="1:3" x14ac:dyDescent="0.35">
      <c r="A8" s="6" t="s">
        <v>214</v>
      </c>
      <c r="B8" s="4" t="s">
        <v>73</v>
      </c>
      <c r="C8" s="2" t="s">
        <v>12</v>
      </c>
    </row>
    <row r="9" spans="1:3" x14ac:dyDescent="0.35">
      <c r="A9" s="6" t="s">
        <v>215</v>
      </c>
      <c r="B9" s="4" t="s">
        <v>74</v>
      </c>
      <c r="C9" s="2" t="s">
        <v>66</v>
      </c>
    </row>
    <row r="10" spans="1:3" x14ac:dyDescent="0.35">
      <c r="A10" s="6" t="s">
        <v>216</v>
      </c>
      <c r="B10" s="4" t="s">
        <v>75</v>
      </c>
      <c r="C10" s="2" t="s">
        <v>209</v>
      </c>
    </row>
    <row r="11" spans="1:3" x14ac:dyDescent="0.35">
      <c r="A11" s="6" t="s">
        <v>217</v>
      </c>
      <c r="B11" s="4" t="s">
        <v>76</v>
      </c>
      <c r="C11" s="2" t="s">
        <v>12</v>
      </c>
    </row>
    <row r="12" spans="1:3" x14ac:dyDescent="0.35">
      <c r="A12" s="6" t="s">
        <v>17</v>
      </c>
      <c r="B12" s="4" t="s">
        <v>77</v>
      </c>
      <c r="C12" s="2" t="s">
        <v>12</v>
      </c>
    </row>
    <row r="13" spans="1:3" x14ac:dyDescent="0.35">
      <c r="A13" s="6" t="s">
        <v>218</v>
      </c>
      <c r="B13" s="4" t="s">
        <v>78</v>
      </c>
      <c r="C13" s="2" t="s">
        <v>12</v>
      </c>
    </row>
    <row r="14" spans="1:3" x14ac:dyDescent="0.35">
      <c r="A14" s="6" t="s">
        <v>219</v>
      </c>
      <c r="B14" s="4" t="s">
        <v>79</v>
      </c>
      <c r="C14" s="2" t="s">
        <v>9</v>
      </c>
    </row>
    <row r="15" spans="1:3" x14ac:dyDescent="0.35">
      <c r="A15" s="6" t="s">
        <v>220</v>
      </c>
      <c r="B15" s="4" t="s">
        <v>80</v>
      </c>
      <c r="C15" s="2" t="s">
        <v>12</v>
      </c>
    </row>
    <row r="16" spans="1:3" x14ac:dyDescent="0.35">
      <c r="A16" s="6" t="s">
        <v>221</v>
      </c>
      <c r="B16" s="4" t="s">
        <v>81</v>
      </c>
      <c r="C16" s="2" t="s">
        <v>12</v>
      </c>
    </row>
    <row r="17" spans="1:3" x14ac:dyDescent="0.35">
      <c r="A17" s="6" t="s">
        <v>18</v>
      </c>
      <c r="B17" s="4" t="s">
        <v>82</v>
      </c>
      <c r="C17" s="2" t="s">
        <v>12</v>
      </c>
    </row>
    <row r="18" spans="1:3" x14ac:dyDescent="0.35">
      <c r="A18" s="6" t="s">
        <v>19</v>
      </c>
      <c r="B18" s="4" t="s">
        <v>83</v>
      </c>
      <c r="C18" s="2" t="s">
        <v>12</v>
      </c>
    </row>
    <row r="19" spans="1:3" x14ac:dyDescent="0.35">
      <c r="A19" s="6" t="s">
        <v>20</v>
      </c>
      <c r="B19" s="4" t="s">
        <v>84</v>
      </c>
      <c r="C19" s="2" t="s">
        <v>66</v>
      </c>
    </row>
    <row r="20" spans="1:3" x14ac:dyDescent="0.35">
      <c r="A20" s="6" t="s">
        <v>21</v>
      </c>
      <c r="B20" s="4" t="s">
        <v>85</v>
      </c>
      <c r="C20" s="2" t="s">
        <v>12</v>
      </c>
    </row>
    <row r="21" spans="1:3" x14ac:dyDescent="0.35">
      <c r="A21" s="6" t="s">
        <v>222</v>
      </c>
      <c r="B21" s="4" t="s">
        <v>86</v>
      </c>
      <c r="C21" s="2" t="s">
        <v>9</v>
      </c>
    </row>
    <row r="22" spans="1:3" x14ac:dyDescent="0.35">
      <c r="A22" s="6" t="s">
        <v>22</v>
      </c>
      <c r="B22" s="4" t="s">
        <v>87</v>
      </c>
      <c r="C22" s="2" t="s">
        <v>4</v>
      </c>
    </row>
    <row r="23" spans="1:3" x14ac:dyDescent="0.35">
      <c r="A23" s="6" t="s">
        <v>223</v>
      </c>
      <c r="B23" s="4" t="s">
        <v>88</v>
      </c>
      <c r="C23" s="2" t="s">
        <v>12</v>
      </c>
    </row>
    <row r="24" spans="1:3" x14ac:dyDescent="0.35">
      <c r="A24" s="6" t="s">
        <v>224</v>
      </c>
      <c r="B24" s="4" t="s">
        <v>89</v>
      </c>
      <c r="C24" s="2" t="s">
        <v>4</v>
      </c>
    </row>
    <row r="25" spans="1:3" x14ac:dyDescent="0.35">
      <c r="A25" s="6" t="s">
        <v>225</v>
      </c>
      <c r="B25" s="4" t="s">
        <v>90</v>
      </c>
      <c r="C25" s="2" t="s">
        <v>12</v>
      </c>
    </row>
    <row r="26" spans="1:3" x14ac:dyDescent="0.35">
      <c r="A26" s="6" t="s">
        <v>226</v>
      </c>
      <c r="B26" s="4" t="s">
        <v>91</v>
      </c>
      <c r="C26" s="2" t="s">
        <v>4</v>
      </c>
    </row>
    <row r="27" spans="1:3" x14ac:dyDescent="0.35">
      <c r="A27" s="6" t="s">
        <v>23</v>
      </c>
      <c r="B27" s="4" t="s">
        <v>92</v>
      </c>
      <c r="C27" s="2" t="s">
        <v>4</v>
      </c>
    </row>
    <row r="28" spans="1:3" x14ac:dyDescent="0.35">
      <c r="A28" s="6" t="s">
        <v>227</v>
      </c>
      <c r="B28" s="4" t="s">
        <v>93</v>
      </c>
      <c r="C28" s="2" t="s">
        <v>12</v>
      </c>
    </row>
    <row r="29" spans="1:3" x14ac:dyDescent="0.35">
      <c r="A29" s="6" t="s">
        <v>228</v>
      </c>
      <c r="B29" s="4" t="s">
        <v>94</v>
      </c>
      <c r="C29" s="2" t="s">
        <v>12</v>
      </c>
    </row>
    <row r="30" spans="1:3" x14ac:dyDescent="0.35">
      <c r="A30" s="6" t="s">
        <v>229</v>
      </c>
      <c r="B30" s="4" t="s">
        <v>95</v>
      </c>
      <c r="C30" s="2" t="s">
        <v>209</v>
      </c>
    </row>
    <row r="31" spans="1:3" x14ac:dyDescent="0.35">
      <c r="A31" s="6" t="s">
        <v>230</v>
      </c>
      <c r="B31" s="4" t="s">
        <v>96</v>
      </c>
      <c r="C31" s="2" t="s">
        <v>209</v>
      </c>
    </row>
    <row r="32" spans="1:3" x14ac:dyDescent="0.35">
      <c r="A32" s="6" t="s">
        <v>24</v>
      </c>
      <c r="B32" s="4" t="s">
        <v>97</v>
      </c>
      <c r="C32" s="2" t="s">
        <v>66</v>
      </c>
    </row>
    <row r="33" spans="1:3" x14ac:dyDescent="0.35">
      <c r="A33" s="6" t="s">
        <v>231</v>
      </c>
      <c r="B33" s="4" t="s">
        <v>98</v>
      </c>
      <c r="C33" s="2" t="s">
        <v>66</v>
      </c>
    </row>
    <row r="34" spans="1:3" x14ac:dyDescent="0.35">
      <c r="A34" s="6" t="s">
        <v>232</v>
      </c>
      <c r="B34" s="4" t="s">
        <v>99</v>
      </c>
      <c r="C34" s="2" t="s">
        <v>12</v>
      </c>
    </row>
    <row r="35" spans="1:3" x14ac:dyDescent="0.35">
      <c r="A35" s="6" t="s">
        <v>25</v>
      </c>
      <c r="B35" s="4" t="s">
        <v>100</v>
      </c>
      <c r="C35" s="2" t="s">
        <v>66</v>
      </c>
    </row>
    <row r="36" spans="1:3" x14ac:dyDescent="0.35">
      <c r="A36" s="6" t="s">
        <v>233</v>
      </c>
      <c r="B36" s="4" t="s">
        <v>101</v>
      </c>
      <c r="C36" s="2" t="s">
        <v>66</v>
      </c>
    </row>
    <row r="37" spans="1:3" x14ac:dyDescent="0.35">
      <c r="A37" s="6" t="s">
        <v>26</v>
      </c>
      <c r="B37" s="4" t="s">
        <v>102</v>
      </c>
      <c r="C37" s="2" t="s">
        <v>12</v>
      </c>
    </row>
    <row r="38" spans="1:3" x14ac:dyDescent="0.35">
      <c r="A38" s="6" t="s">
        <v>27</v>
      </c>
      <c r="B38" s="4" t="s">
        <v>103</v>
      </c>
      <c r="C38" s="2" t="s">
        <v>12</v>
      </c>
    </row>
    <row r="39" spans="1:3" x14ac:dyDescent="0.35">
      <c r="A39" s="6" t="s">
        <v>234</v>
      </c>
      <c r="B39" s="4" t="s">
        <v>104</v>
      </c>
      <c r="C39" s="2" t="s">
        <v>12</v>
      </c>
    </row>
    <row r="40" spans="1:3" x14ac:dyDescent="0.35">
      <c r="A40" s="6" t="s">
        <v>235</v>
      </c>
      <c r="B40" s="4" t="s">
        <v>105</v>
      </c>
      <c r="C40" s="2" t="s">
        <v>4</v>
      </c>
    </row>
    <row r="41" spans="1:3" x14ac:dyDescent="0.35">
      <c r="A41" s="6" t="s">
        <v>28</v>
      </c>
      <c r="B41" s="4" t="s">
        <v>106</v>
      </c>
      <c r="C41" s="2" t="s">
        <v>66</v>
      </c>
    </row>
    <row r="42" spans="1:3" x14ac:dyDescent="0.35">
      <c r="A42" s="6" t="s">
        <v>29</v>
      </c>
      <c r="B42" s="4" t="s">
        <v>107</v>
      </c>
      <c r="C42" s="2" t="s">
        <v>66</v>
      </c>
    </row>
    <row r="43" spans="1:3" x14ac:dyDescent="0.35">
      <c r="A43" s="6" t="s">
        <v>30</v>
      </c>
      <c r="B43" s="4" t="s">
        <v>108</v>
      </c>
      <c r="C43" s="2" t="s">
        <v>66</v>
      </c>
    </row>
    <row r="44" spans="1:3" x14ac:dyDescent="0.35">
      <c r="A44" s="6" t="s">
        <v>31</v>
      </c>
      <c r="B44" s="4" t="s">
        <v>109</v>
      </c>
      <c r="C44" s="2" t="s">
        <v>66</v>
      </c>
    </row>
    <row r="45" spans="1:3" x14ac:dyDescent="0.35">
      <c r="A45" s="6" t="s">
        <v>32</v>
      </c>
      <c r="B45" s="4" t="s">
        <v>110</v>
      </c>
      <c r="C45" s="2" t="s">
        <v>66</v>
      </c>
    </row>
    <row r="46" spans="1:3" x14ac:dyDescent="0.35">
      <c r="A46" s="6" t="s">
        <v>33</v>
      </c>
      <c r="B46" s="4" t="s">
        <v>111</v>
      </c>
      <c r="C46" s="2" t="s">
        <v>66</v>
      </c>
    </row>
    <row r="47" spans="1:3" x14ac:dyDescent="0.35">
      <c r="A47" s="6" t="s">
        <v>34</v>
      </c>
      <c r="B47" s="4" t="s">
        <v>112</v>
      </c>
      <c r="C47" s="2" t="s">
        <v>66</v>
      </c>
    </row>
    <row r="48" spans="1:3" x14ac:dyDescent="0.35">
      <c r="A48" s="6" t="s">
        <v>35</v>
      </c>
      <c r="B48" s="4" t="s">
        <v>113</v>
      </c>
      <c r="C48" s="2" t="s">
        <v>66</v>
      </c>
    </row>
    <row r="49" spans="1:3" x14ac:dyDescent="0.35">
      <c r="A49" s="6" t="s">
        <v>236</v>
      </c>
      <c r="B49" s="4" t="s">
        <v>114</v>
      </c>
      <c r="C49" s="2" t="s">
        <v>66</v>
      </c>
    </row>
    <row r="50" spans="1:3" x14ac:dyDescent="0.35">
      <c r="A50" s="6" t="s">
        <v>237</v>
      </c>
      <c r="B50" s="4" t="s">
        <v>115</v>
      </c>
      <c r="C50" s="2" t="s">
        <v>66</v>
      </c>
    </row>
    <row r="51" spans="1:3" x14ac:dyDescent="0.35">
      <c r="A51" s="6" t="s">
        <v>36</v>
      </c>
      <c r="B51" s="4" t="s">
        <v>116</v>
      </c>
      <c r="C51" s="2" t="s">
        <v>66</v>
      </c>
    </row>
    <row r="52" spans="1:3" x14ac:dyDescent="0.35">
      <c r="A52" s="6" t="s">
        <v>37</v>
      </c>
      <c r="B52" s="4" t="s">
        <v>117</v>
      </c>
      <c r="C52" s="2" t="s">
        <v>66</v>
      </c>
    </row>
    <row r="53" spans="1:3" x14ac:dyDescent="0.35">
      <c r="A53" s="6" t="s">
        <v>238</v>
      </c>
      <c r="B53" s="4" t="s">
        <v>118</v>
      </c>
      <c r="C53" s="2" t="s">
        <v>12</v>
      </c>
    </row>
    <row r="54" spans="1:3" x14ac:dyDescent="0.35">
      <c r="A54" s="6" t="s">
        <v>239</v>
      </c>
      <c r="B54" s="4" t="s">
        <v>119</v>
      </c>
      <c r="C54" s="2" t="s">
        <v>12</v>
      </c>
    </row>
    <row r="55" spans="1:3" x14ac:dyDescent="0.35">
      <c r="A55" s="6" t="s">
        <v>240</v>
      </c>
      <c r="B55" s="4" t="s">
        <v>120</v>
      </c>
      <c r="C55" s="2" t="s">
        <v>12</v>
      </c>
    </row>
    <row r="56" spans="1:3" x14ac:dyDescent="0.35">
      <c r="A56" s="6" t="s">
        <v>241</v>
      </c>
      <c r="B56" s="4" t="s">
        <v>121</v>
      </c>
      <c r="C56" s="2" t="s">
        <v>209</v>
      </c>
    </row>
    <row r="57" spans="1:3" x14ac:dyDescent="0.35">
      <c r="A57" s="6" t="s">
        <v>38</v>
      </c>
      <c r="B57" s="4" t="s">
        <v>122</v>
      </c>
      <c r="C57" s="2" t="s">
        <v>209</v>
      </c>
    </row>
    <row r="58" spans="1:3" x14ac:dyDescent="0.35">
      <c r="A58" s="6" t="s">
        <v>242</v>
      </c>
      <c r="B58" s="4" t="s">
        <v>123</v>
      </c>
      <c r="C58" s="2" t="s">
        <v>209</v>
      </c>
    </row>
    <row r="59" spans="1:3" x14ac:dyDescent="0.35">
      <c r="A59" s="6" t="s">
        <v>243</v>
      </c>
      <c r="B59" s="4" t="s">
        <v>124</v>
      </c>
      <c r="C59" s="2" t="s">
        <v>209</v>
      </c>
    </row>
    <row r="60" spans="1:3" x14ac:dyDescent="0.35">
      <c r="A60" s="6" t="s">
        <v>244</v>
      </c>
      <c r="B60" s="4" t="s">
        <v>125</v>
      </c>
      <c r="C60" s="2" t="s">
        <v>209</v>
      </c>
    </row>
    <row r="61" spans="1:3" x14ac:dyDescent="0.35">
      <c r="A61" s="6" t="s">
        <v>245</v>
      </c>
      <c r="B61" s="4" t="s">
        <v>126</v>
      </c>
      <c r="C61" s="2" t="s">
        <v>10</v>
      </c>
    </row>
    <row r="62" spans="1:3" x14ac:dyDescent="0.35">
      <c r="A62" s="6" t="s">
        <v>39</v>
      </c>
      <c r="B62" s="4" t="s">
        <v>127</v>
      </c>
      <c r="C62" s="2" t="s">
        <v>10</v>
      </c>
    </row>
    <row r="63" spans="1:3" x14ac:dyDescent="0.35">
      <c r="A63" s="6" t="s">
        <v>40</v>
      </c>
      <c r="B63" s="4" t="s">
        <v>128</v>
      </c>
      <c r="C63" s="2" t="s">
        <v>10</v>
      </c>
    </row>
    <row r="64" spans="1:3" x14ac:dyDescent="0.35">
      <c r="A64" s="6" t="s">
        <v>41</v>
      </c>
      <c r="B64" s="4" t="s">
        <v>129</v>
      </c>
      <c r="C64" s="2" t="s">
        <v>209</v>
      </c>
    </row>
    <row r="65" spans="1:3" x14ac:dyDescent="0.35">
      <c r="A65" s="6" t="s">
        <v>42</v>
      </c>
      <c r="B65" s="4" t="s">
        <v>130</v>
      </c>
      <c r="C65" s="2" t="s">
        <v>209</v>
      </c>
    </row>
    <row r="66" spans="1:3" x14ac:dyDescent="0.35">
      <c r="A66" s="6" t="s">
        <v>246</v>
      </c>
      <c r="B66" s="4" t="s">
        <v>131</v>
      </c>
      <c r="C66" s="2" t="s">
        <v>209</v>
      </c>
    </row>
    <row r="67" spans="1:3" x14ac:dyDescent="0.35">
      <c r="A67" s="6" t="s">
        <v>43</v>
      </c>
      <c r="B67" s="4" t="s">
        <v>132</v>
      </c>
      <c r="C67" s="2" t="s">
        <v>209</v>
      </c>
    </row>
    <row r="68" spans="1:3" x14ac:dyDescent="0.35">
      <c r="A68" s="6" t="s">
        <v>247</v>
      </c>
      <c r="B68" s="4" t="s">
        <v>133</v>
      </c>
      <c r="C68" s="2" t="s">
        <v>10</v>
      </c>
    </row>
    <row r="69" spans="1:3" x14ac:dyDescent="0.35">
      <c r="A69" s="6" t="s">
        <v>248</v>
      </c>
      <c r="B69" s="4" t="s">
        <v>134</v>
      </c>
      <c r="C69" s="2" t="s">
        <v>10</v>
      </c>
    </row>
    <row r="70" spans="1:3" x14ac:dyDescent="0.35">
      <c r="A70" s="6" t="s">
        <v>249</v>
      </c>
      <c r="B70" s="4" t="s">
        <v>135</v>
      </c>
      <c r="C70" s="2" t="s">
        <v>10</v>
      </c>
    </row>
    <row r="71" spans="1:3" x14ac:dyDescent="0.35">
      <c r="A71" s="6" t="s">
        <v>250</v>
      </c>
      <c r="B71" s="4" t="s">
        <v>136</v>
      </c>
      <c r="C71" s="2" t="s">
        <v>209</v>
      </c>
    </row>
    <row r="72" spans="1:3" x14ac:dyDescent="0.35">
      <c r="A72" s="6" t="s">
        <v>44</v>
      </c>
      <c r="B72" s="4" t="s">
        <v>137</v>
      </c>
      <c r="C72" s="2" t="s">
        <v>209</v>
      </c>
    </row>
    <row r="73" spans="1:3" x14ac:dyDescent="0.35">
      <c r="A73" s="6" t="s">
        <v>251</v>
      </c>
      <c r="B73" s="4" t="s">
        <v>138</v>
      </c>
      <c r="C73" s="2" t="s">
        <v>209</v>
      </c>
    </row>
    <row r="74" spans="1:3" x14ac:dyDescent="0.35">
      <c r="A74" s="6" t="s">
        <v>252</v>
      </c>
      <c r="B74" s="4" t="s">
        <v>139</v>
      </c>
      <c r="C74" s="2" t="s">
        <v>209</v>
      </c>
    </row>
    <row r="75" spans="1:3" x14ac:dyDescent="0.35">
      <c r="A75" s="6" t="s">
        <v>253</v>
      </c>
      <c r="B75" s="4" t="s">
        <v>140</v>
      </c>
      <c r="C75" s="2" t="s">
        <v>11</v>
      </c>
    </row>
    <row r="76" spans="1:3" x14ac:dyDescent="0.35">
      <c r="A76" s="6" t="s">
        <v>254</v>
      </c>
      <c r="B76" s="4" t="s">
        <v>141</v>
      </c>
      <c r="C76" s="2" t="s">
        <v>11</v>
      </c>
    </row>
    <row r="77" spans="1:3" x14ac:dyDescent="0.35">
      <c r="A77" s="6" t="s">
        <v>45</v>
      </c>
      <c r="B77" s="4" t="s">
        <v>142</v>
      </c>
      <c r="C77" s="2" t="s">
        <v>11</v>
      </c>
    </row>
    <row r="78" spans="1:3" x14ac:dyDescent="0.35">
      <c r="A78" s="6" t="s">
        <v>46</v>
      </c>
      <c r="B78" s="4" t="s">
        <v>143</v>
      </c>
      <c r="C78" s="2" t="s">
        <v>209</v>
      </c>
    </row>
    <row r="79" spans="1:3" x14ac:dyDescent="0.35">
      <c r="A79" s="6" t="s">
        <v>255</v>
      </c>
      <c r="B79" s="4" t="s">
        <v>144</v>
      </c>
      <c r="C79" s="2" t="s">
        <v>209</v>
      </c>
    </row>
    <row r="80" spans="1:3" x14ac:dyDescent="0.35">
      <c r="A80" s="6" t="s">
        <v>256</v>
      </c>
      <c r="B80" s="4" t="s">
        <v>145</v>
      </c>
      <c r="C80" s="2" t="s">
        <v>209</v>
      </c>
    </row>
    <row r="81" spans="1:3" x14ac:dyDescent="0.35">
      <c r="A81" s="6" t="s">
        <v>257</v>
      </c>
      <c r="B81" s="4" t="s">
        <v>146</v>
      </c>
      <c r="C81" s="2" t="s">
        <v>209</v>
      </c>
    </row>
    <row r="82" spans="1:3" x14ac:dyDescent="0.35">
      <c r="A82" s="6" t="s">
        <v>47</v>
      </c>
      <c r="B82" s="4" t="s">
        <v>147</v>
      </c>
      <c r="C82" s="2" t="s">
        <v>209</v>
      </c>
    </row>
    <row r="83" spans="1:3" x14ac:dyDescent="0.35">
      <c r="A83" s="6" t="s">
        <v>258</v>
      </c>
      <c r="B83" s="4" t="s">
        <v>148</v>
      </c>
      <c r="C83" s="2" t="s">
        <v>209</v>
      </c>
    </row>
    <row r="84" spans="1:3" x14ac:dyDescent="0.35">
      <c r="A84" s="6" t="s">
        <v>259</v>
      </c>
      <c r="B84" s="4" t="s">
        <v>149</v>
      </c>
      <c r="C84" s="2" t="s">
        <v>209</v>
      </c>
    </row>
    <row r="85" spans="1:3" x14ac:dyDescent="0.35">
      <c r="A85" s="6" t="s">
        <v>260</v>
      </c>
      <c r="B85" s="4" t="s">
        <v>150</v>
      </c>
      <c r="C85" s="2" t="s">
        <v>209</v>
      </c>
    </row>
    <row r="86" spans="1:3" x14ac:dyDescent="0.35">
      <c r="A86" s="6" t="s">
        <v>261</v>
      </c>
      <c r="B86" s="4" t="s">
        <v>151</v>
      </c>
      <c r="C86" s="2" t="s">
        <v>209</v>
      </c>
    </row>
    <row r="87" spans="1:3" x14ac:dyDescent="0.35">
      <c r="A87" s="6" t="s">
        <v>262</v>
      </c>
      <c r="B87" s="4" t="s">
        <v>152</v>
      </c>
      <c r="C87" s="2" t="s">
        <v>10</v>
      </c>
    </row>
    <row r="88" spans="1:3" x14ac:dyDescent="0.35">
      <c r="A88" s="6" t="s">
        <v>263</v>
      </c>
      <c r="B88" s="4" t="s">
        <v>153</v>
      </c>
      <c r="C88" s="2" t="s">
        <v>10</v>
      </c>
    </row>
    <row r="89" spans="1:3" x14ac:dyDescent="0.35">
      <c r="A89" s="6" t="s">
        <v>264</v>
      </c>
      <c r="B89" s="4" t="s">
        <v>154</v>
      </c>
      <c r="C89" s="2" t="s">
        <v>10</v>
      </c>
    </row>
    <row r="90" spans="1:3" x14ac:dyDescent="0.35">
      <c r="A90" s="6" t="s">
        <v>265</v>
      </c>
      <c r="B90" s="4" t="s">
        <v>155</v>
      </c>
      <c r="C90" s="2" t="s">
        <v>209</v>
      </c>
    </row>
    <row r="91" spans="1:3" x14ac:dyDescent="0.35">
      <c r="A91" s="6" t="s">
        <v>266</v>
      </c>
      <c r="B91" s="4" t="s">
        <v>156</v>
      </c>
      <c r="C91" s="2" t="s">
        <v>209</v>
      </c>
    </row>
    <row r="92" spans="1:3" x14ac:dyDescent="0.35">
      <c r="A92" s="6" t="s">
        <v>267</v>
      </c>
      <c r="B92" s="4" t="s">
        <v>157</v>
      </c>
      <c r="C92" s="2" t="s">
        <v>209</v>
      </c>
    </row>
    <row r="93" spans="1:3" x14ac:dyDescent="0.35">
      <c r="A93" s="6" t="s">
        <v>268</v>
      </c>
      <c r="B93" s="4" t="s">
        <v>158</v>
      </c>
      <c r="C93" s="2" t="s">
        <v>209</v>
      </c>
    </row>
    <row r="94" spans="1:3" x14ac:dyDescent="0.35">
      <c r="A94" s="6" t="s">
        <v>269</v>
      </c>
      <c r="B94" s="4" t="s">
        <v>159</v>
      </c>
      <c r="C94" s="2" t="s">
        <v>209</v>
      </c>
    </row>
    <row r="95" spans="1:3" x14ac:dyDescent="0.35">
      <c r="A95" s="6" t="s">
        <v>270</v>
      </c>
      <c r="B95" s="4" t="s">
        <v>160</v>
      </c>
      <c r="C95" s="2" t="s">
        <v>209</v>
      </c>
    </row>
    <row r="96" spans="1:3" x14ac:dyDescent="0.35">
      <c r="A96" s="6" t="s">
        <v>271</v>
      </c>
      <c r="B96" s="4" t="s">
        <v>161</v>
      </c>
      <c r="C96" s="2" t="s">
        <v>209</v>
      </c>
    </row>
    <row r="97" spans="1:3" x14ac:dyDescent="0.35">
      <c r="A97" s="6" t="s">
        <v>272</v>
      </c>
      <c r="B97" s="4" t="s">
        <v>162</v>
      </c>
      <c r="C97" s="2" t="s">
        <v>209</v>
      </c>
    </row>
    <row r="98" spans="1:3" x14ac:dyDescent="0.35">
      <c r="A98" s="6" t="s">
        <v>273</v>
      </c>
      <c r="B98" s="4" t="s">
        <v>163</v>
      </c>
      <c r="C98" s="2" t="s">
        <v>209</v>
      </c>
    </row>
    <row r="99" spans="1:3" x14ac:dyDescent="0.35">
      <c r="A99" s="6" t="s">
        <v>274</v>
      </c>
      <c r="B99" s="4" t="s">
        <v>164</v>
      </c>
      <c r="C99" s="2" t="s">
        <v>209</v>
      </c>
    </row>
    <row r="100" spans="1:3" x14ac:dyDescent="0.35">
      <c r="A100" s="6" t="s">
        <v>275</v>
      </c>
      <c r="B100" s="4" t="s">
        <v>165</v>
      </c>
      <c r="C100" s="2" t="s">
        <v>209</v>
      </c>
    </row>
    <row r="101" spans="1:3" x14ac:dyDescent="0.35">
      <c r="A101" s="6" t="s">
        <v>276</v>
      </c>
      <c r="B101" s="4" t="s">
        <v>166</v>
      </c>
      <c r="C101" s="2" t="s">
        <v>10</v>
      </c>
    </row>
    <row r="102" spans="1:3" x14ac:dyDescent="0.35">
      <c r="A102" s="6" t="s">
        <v>48</v>
      </c>
      <c r="B102" s="4" t="s">
        <v>167</v>
      </c>
      <c r="C102" s="2" t="s">
        <v>12</v>
      </c>
    </row>
    <row r="103" spans="1:3" x14ac:dyDescent="0.35">
      <c r="A103" s="6" t="s">
        <v>277</v>
      </c>
      <c r="B103" s="4" t="s">
        <v>168</v>
      </c>
      <c r="C103" s="2" t="s">
        <v>12</v>
      </c>
    </row>
    <row r="104" spans="1:3" x14ac:dyDescent="0.35">
      <c r="A104" s="6" t="s">
        <v>278</v>
      </c>
      <c r="B104" s="4" t="s">
        <v>169</v>
      </c>
      <c r="C104" s="2" t="s">
        <v>66</v>
      </c>
    </row>
    <row r="105" spans="1:3" x14ac:dyDescent="0.35">
      <c r="A105" s="6" t="s">
        <v>279</v>
      </c>
      <c r="B105" s="4" t="s">
        <v>170</v>
      </c>
      <c r="C105" s="2" t="s">
        <v>12</v>
      </c>
    </row>
    <row r="106" spans="1:3" x14ac:dyDescent="0.35">
      <c r="A106" s="6" t="s">
        <v>280</v>
      </c>
      <c r="B106" s="4" t="s">
        <v>171</v>
      </c>
      <c r="C106" s="2" t="s">
        <v>10</v>
      </c>
    </row>
    <row r="107" spans="1:3" x14ac:dyDescent="0.35">
      <c r="A107" s="6" t="s">
        <v>49</v>
      </c>
      <c r="B107" s="4" t="s">
        <v>172</v>
      </c>
      <c r="C107" s="2" t="s">
        <v>10</v>
      </c>
    </row>
    <row r="108" spans="1:3" x14ac:dyDescent="0.35">
      <c r="A108" s="6" t="s">
        <v>281</v>
      </c>
      <c r="B108" s="4" t="s">
        <v>173</v>
      </c>
      <c r="C108" s="2" t="s">
        <v>10</v>
      </c>
    </row>
    <row r="109" spans="1:3" x14ac:dyDescent="0.35">
      <c r="A109" s="6" t="s">
        <v>282</v>
      </c>
      <c r="B109" s="4" t="s">
        <v>174</v>
      </c>
      <c r="C109" s="2" t="s">
        <v>10</v>
      </c>
    </row>
    <row r="110" spans="1:3" x14ac:dyDescent="0.35">
      <c r="A110" s="6" t="s">
        <v>283</v>
      </c>
      <c r="B110" s="4" t="s">
        <v>175</v>
      </c>
      <c r="C110" s="2" t="s">
        <v>6</v>
      </c>
    </row>
    <row r="111" spans="1:3" x14ac:dyDescent="0.35">
      <c r="A111" s="6" t="s">
        <v>284</v>
      </c>
      <c r="B111" s="4" t="s">
        <v>176</v>
      </c>
      <c r="C111" s="2" t="s">
        <v>11</v>
      </c>
    </row>
    <row r="112" spans="1:3" x14ac:dyDescent="0.35">
      <c r="A112" s="6" t="s">
        <v>50</v>
      </c>
      <c r="B112" s="4" t="s">
        <v>177</v>
      </c>
      <c r="C112" s="2" t="s">
        <v>7</v>
      </c>
    </row>
    <row r="113" spans="1:3" x14ac:dyDescent="0.35">
      <c r="A113" s="6" t="s">
        <v>285</v>
      </c>
      <c r="B113" s="4" t="s">
        <v>178</v>
      </c>
      <c r="C113" s="2" t="s">
        <v>11</v>
      </c>
    </row>
    <row r="114" spans="1:3" x14ac:dyDescent="0.35">
      <c r="A114" s="6" t="s">
        <v>286</v>
      </c>
      <c r="B114" s="4" t="s">
        <v>179</v>
      </c>
      <c r="C114" s="2" t="s">
        <v>7</v>
      </c>
    </row>
    <row r="115" spans="1:3" x14ac:dyDescent="0.35">
      <c r="A115" s="6" t="s">
        <v>287</v>
      </c>
      <c r="B115" s="4" t="s">
        <v>180</v>
      </c>
      <c r="C115" s="2" t="s">
        <v>6</v>
      </c>
    </row>
    <row r="116" spans="1:3" x14ac:dyDescent="0.35">
      <c r="A116" s="6" t="s">
        <v>288</v>
      </c>
      <c r="B116" s="4" t="s">
        <v>181</v>
      </c>
      <c r="C116" s="2" t="s">
        <v>6</v>
      </c>
    </row>
    <row r="117" spans="1:3" x14ac:dyDescent="0.35">
      <c r="A117" s="6" t="s">
        <v>51</v>
      </c>
      <c r="B117" s="4" t="s">
        <v>182</v>
      </c>
      <c r="C117" s="2" t="s">
        <v>6</v>
      </c>
    </row>
    <row r="118" spans="1:3" x14ac:dyDescent="0.35">
      <c r="A118" s="6" t="s">
        <v>289</v>
      </c>
      <c r="B118" s="4" t="s">
        <v>183</v>
      </c>
      <c r="C118" s="2" t="s">
        <v>11</v>
      </c>
    </row>
    <row r="119" spans="1:3" x14ac:dyDescent="0.35">
      <c r="A119" s="6" t="s">
        <v>290</v>
      </c>
      <c r="B119" s="4" t="s">
        <v>184</v>
      </c>
      <c r="C119" s="2" t="s">
        <v>7</v>
      </c>
    </row>
    <row r="120" spans="1:3" x14ac:dyDescent="0.35">
      <c r="A120" s="6" t="s">
        <v>291</v>
      </c>
      <c r="B120" s="4" t="s">
        <v>185</v>
      </c>
      <c r="C120" s="2" t="s">
        <v>6</v>
      </c>
    </row>
    <row r="121" spans="1:3" x14ac:dyDescent="0.35">
      <c r="A121" s="6" t="s">
        <v>52</v>
      </c>
      <c r="B121" s="4" t="s">
        <v>186</v>
      </c>
      <c r="C121" s="2" t="s">
        <v>6</v>
      </c>
    </row>
    <row r="122" spans="1:3" x14ac:dyDescent="0.35">
      <c r="A122" s="6" t="s">
        <v>53</v>
      </c>
      <c r="B122" s="4" t="s">
        <v>187</v>
      </c>
      <c r="C122" s="2" t="s">
        <v>6</v>
      </c>
    </row>
    <row r="123" spans="1:3" x14ac:dyDescent="0.35">
      <c r="A123" s="6" t="s">
        <v>292</v>
      </c>
      <c r="B123" s="4" t="s">
        <v>188</v>
      </c>
      <c r="C123" s="2" t="s">
        <v>7</v>
      </c>
    </row>
    <row r="124" spans="1:3" x14ac:dyDescent="0.35">
      <c r="A124" s="6" t="s">
        <v>293</v>
      </c>
      <c r="B124" s="4" t="s">
        <v>189</v>
      </c>
      <c r="C124" s="2" t="s">
        <v>11</v>
      </c>
    </row>
    <row r="125" spans="1:3" x14ac:dyDescent="0.35">
      <c r="A125" s="6" t="s">
        <v>294</v>
      </c>
      <c r="B125" s="4" t="s">
        <v>190</v>
      </c>
      <c r="C125" s="2" t="s">
        <v>6</v>
      </c>
    </row>
    <row r="126" spans="1:3" x14ac:dyDescent="0.35">
      <c r="A126" s="6" t="s">
        <v>54</v>
      </c>
      <c r="B126" s="4" t="s">
        <v>191</v>
      </c>
      <c r="C126" s="2" t="s">
        <v>7</v>
      </c>
    </row>
    <row r="127" spans="1:3" x14ac:dyDescent="0.35">
      <c r="A127" s="6" t="s">
        <v>55</v>
      </c>
      <c r="B127" s="4" t="s">
        <v>192</v>
      </c>
      <c r="C127" s="2" t="s">
        <v>66</v>
      </c>
    </row>
    <row r="128" spans="1:3" x14ac:dyDescent="0.35">
      <c r="A128" s="6" t="s">
        <v>295</v>
      </c>
      <c r="B128" s="4" t="s">
        <v>193</v>
      </c>
      <c r="C128" s="2" t="s">
        <v>66</v>
      </c>
    </row>
    <row r="129" spans="1:3" x14ac:dyDescent="0.35">
      <c r="A129" s="6" t="s">
        <v>296</v>
      </c>
      <c r="B129" s="4" t="s">
        <v>194</v>
      </c>
      <c r="C129" s="2" t="s">
        <v>13</v>
      </c>
    </row>
    <row r="130" spans="1:3" x14ac:dyDescent="0.35">
      <c r="A130" s="6" t="s">
        <v>297</v>
      </c>
      <c r="B130" s="4" t="s">
        <v>195</v>
      </c>
      <c r="C130" s="2" t="s">
        <v>13</v>
      </c>
    </row>
    <row r="131" spans="1:3" x14ac:dyDescent="0.35">
      <c r="A131" s="6" t="s">
        <v>56</v>
      </c>
      <c r="B131" s="4" t="s">
        <v>196</v>
      </c>
      <c r="C131" s="2" t="s">
        <v>13</v>
      </c>
    </row>
    <row r="132" spans="1:3" x14ac:dyDescent="0.35">
      <c r="A132" s="6" t="s">
        <v>57</v>
      </c>
      <c r="B132" s="4" t="s">
        <v>197</v>
      </c>
      <c r="C132" s="2" t="s">
        <v>13</v>
      </c>
    </row>
    <row r="133" spans="1:3" x14ac:dyDescent="0.35">
      <c r="A133" s="6" t="s">
        <v>58</v>
      </c>
      <c r="B133" s="4" t="s">
        <v>198</v>
      </c>
      <c r="C133" s="2" t="s">
        <v>8</v>
      </c>
    </row>
    <row r="134" spans="1:3" x14ac:dyDescent="0.35">
      <c r="A134" s="6" t="s">
        <v>298</v>
      </c>
      <c r="B134" s="4" t="s">
        <v>199</v>
      </c>
      <c r="C134" s="2" t="s">
        <v>6</v>
      </c>
    </row>
    <row r="135" spans="1:3" x14ac:dyDescent="0.35">
      <c r="A135" s="6" t="s">
        <v>299</v>
      </c>
      <c r="B135" s="4" t="s">
        <v>200</v>
      </c>
      <c r="C135" s="2" t="s">
        <v>11</v>
      </c>
    </row>
    <row r="136" spans="1:3" x14ac:dyDescent="0.35">
      <c r="A136" s="6" t="s">
        <v>59</v>
      </c>
      <c r="B136" s="4" t="s">
        <v>201</v>
      </c>
      <c r="C136" s="2" t="s">
        <v>7</v>
      </c>
    </row>
    <row r="137" spans="1:3" x14ac:dyDescent="0.35">
      <c r="A137" s="6" t="s">
        <v>60</v>
      </c>
      <c r="B137" s="4" t="s">
        <v>202</v>
      </c>
      <c r="C137" s="2" t="s">
        <v>11</v>
      </c>
    </row>
    <row r="138" spans="1:3" x14ac:dyDescent="0.35">
      <c r="A138" s="6" t="s">
        <v>300</v>
      </c>
      <c r="B138" s="4" t="s">
        <v>203</v>
      </c>
      <c r="C138" s="2" t="s">
        <v>7</v>
      </c>
    </row>
    <row r="139" spans="1:3" x14ac:dyDescent="0.35">
      <c r="A139" s="6" t="s">
        <v>301</v>
      </c>
      <c r="B139" s="4" t="s">
        <v>204</v>
      </c>
      <c r="C139" s="2" t="s">
        <v>6</v>
      </c>
    </row>
    <row r="140" spans="1:3" x14ac:dyDescent="0.35">
      <c r="A140" s="6" t="s">
        <v>302</v>
      </c>
      <c r="B140" s="4" t="s">
        <v>205</v>
      </c>
      <c r="C140" s="2" t="s">
        <v>6</v>
      </c>
    </row>
    <row r="141" spans="1:3" x14ac:dyDescent="0.35">
      <c r="A141" s="6" t="s">
        <v>61</v>
      </c>
      <c r="B141" s="4" t="s">
        <v>206</v>
      </c>
      <c r="C141" s="2" t="s">
        <v>6</v>
      </c>
    </row>
    <row r="142" spans="1:3" x14ac:dyDescent="0.35">
      <c r="A142" s="6" t="s">
        <v>62</v>
      </c>
      <c r="B142" s="4" t="s">
        <v>207</v>
      </c>
      <c r="C142" s="2" t="s">
        <v>10</v>
      </c>
    </row>
    <row r="143" spans="1:3" x14ac:dyDescent="0.35">
      <c r="A143" s="6" t="s">
        <v>303</v>
      </c>
      <c r="B143" s="4" t="s">
        <v>208</v>
      </c>
      <c r="C143" s="2" t="s">
        <v>209</v>
      </c>
    </row>
  </sheetData>
  <autoFilter ref="A1:C143" xr:uid="{777D9CAE-39E4-4E5A-833E-C63A710075C2}"/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57DF-A79E-42C3-977C-0658C24EB936}">
  <sheetPr codeName="Sheet3"/>
  <dimension ref="A1:A11"/>
  <sheetViews>
    <sheetView workbookViewId="0">
      <selection activeCell="A13" sqref="A13"/>
    </sheetView>
  </sheetViews>
  <sheetFormatPr defaultRowHeight="14.5" x14ac:dyDescent="0.35"/>
  <cols>
    <col min="1" max="1" width="25.453125" bestFit="1" customWidth="1"/>
  </cols>
  <sheetData>
    <row r="1" spans="1:1" ht="15.5" x14ac:dyDescent="0.35">
      <c r="A1" s="1" t="s">
        <v>5</v>
      </c>
    </row>
    <row r="2" spans="1:1" x14ac:dyDescent="0.35">
      <c r="A2" s="2" t="s">
        <v>6</v>
      </c>
    </row>
    <row r="3" spans="1:1" x14ac:dyDescent="0.35">
      <c r="A3" s="2" t="s">
        <v>7</v>
      </c>
    </row>
    <row r="4" spans="1:1" x14ac:dyDescent="0.35">
      <c r="A4" s="2" t="s">
        <v>209</v>
      </c>
    </row>
    <row r="5" spans="1:1" x14ac:dyDescent="0.35">
      <c r="A5" s="2" t="s">
        <v>8</v>
      </c>
    </row>
    <row r="6" spans="1:1" x14ac:dyDescent="0.35">
      <c r="A6" s="2" t="s">
        <v>9</v>
      </c>
    </row>
    <row r="7" spans="1:1" x14ac:dyDescent="0.35">
      <c r="A7" s="2" t="s">
        <v>10</v>
      </c>
    </row>
    <row r="8" spans="1:1" x14ac:dyDescent="0.35">
      <c r="A8" s="2" t="s">
        <v>11</v>
      </c>
    </row>
    <row r="9" spans="1:1" x14ac:dyDescent="0.35">
      <c r="A9" s="2" t="s">
        <v>12</v>
      </c>
    </row>
    <row r="10" spans="1:1" x14ac:dyDescent="0.35">
      <c r="A10" s="2" t="s">
        <v>4</v>
      </c>
    </row>
    <row r="11" spans="1:1" x14ac:dyDescent="0.35">
      <c r="A11" s="2" t="s">
        <v>13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Dunnings Automation</vt:lpstr>
      <vt:lpstr>Data</vt:lpstr>
      <vt:lpstr>Status 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Dudek, Anna</dc:creator>
  <cp:lastModifiedBy>Dudek, Anna</cp:lastModifiedBy>
  <dcterms:created xsi:type="dcterms:W3CDTF">2015-06-05T18:19:34Z</dcterms:created>
  <dcterms:modified xsi:type="dcterms:W3CDTF">2025-09-23T22:28:05Z</dcterms:modified>
</cp:coreProperties>
</file>